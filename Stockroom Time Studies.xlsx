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sharma\Downloads\"/>
    </mc:Choice>
  </mc:AlternateContent>
  <xr:revisionPtr revIDLastSave="0" documentId="8_{AD15EBB9-4CEC-47A1-B327-CD6FD3A12BD6}" xr6:coauthVersionLast="47" xr6:coauthVersionMax="47" xr10:uidLastSave="{00000000-0000-0000-0000-000000000000}"/>
  <bookViews>
    <workbookView xWindow="-110" yWindow="-110" windowWidth="19420" windowHeight="10300" xr2:uid="{87CA3238-1D50-4340-AD8F-C5071CF5377A}"/>
  </bookViews>
  <sheets>
    <sheet name="ROF Analysis" sheetId="2" r:id="rId1"/>
    <sheet name="ROF times" sheetId="3" r:id="rId2"/>
    <sheet name="Stockroom" sheetId="1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J34" i="3"/>
  <c r="E22" i="3"/>
  <c r="G14" i="3"/>
  <c r="E4" i="2" s="1"/>
  <c r="G20" i="3"/>
  <c r="B34" i="3"/>
  <c r="B3" i="2"/>
  <c r="B5" i="2"/>
  <c r="B12" i="2" s="1"/>
  <c r="G34" i="3" l="1"/>
  <c r="E34" i="3"/>
  <c r="E3" i="2" s="1"/>
  <c r="B13" i="2"/>
  <c r="B11" i="2"/>
  <c r="B15" i="2" s="1"/>
  <c r="B14" i="2"/>
  <c r="B16" i="2" l="1"/>
  <c r="B17" i="2" s="1"/>
  <c r="B8" i="2" l="1"/>
  <c r="B10" i="2" s="1"/>
  <c r="W11" i="1"/>
  <c r="W5" i="1"/>
  <c r="W4" i="1"/>
  <c r="W3" i="1"/>
  <c r="W2" i="1"/>
  <c r="T15" i="1"/>
  <c r="T17" i="1" s="1"/>
  <c r="T16" i="1"/>
  <c r="O13" i="1"/>
  <c r="O14" i="1"/>
  <c r="D24" i="1"/>
  <c r="G24" i="1"/>
  <c r="E24" i="1"/>
  <c r="B24" i="1"/>
  <c r="J24" i="1"/>
  <c r="E9" i="2" l="1"/>
  <c r="B26" i="1"/>
  <c r="O11" i="1"/>
  <c r="O12" i="1"/>
  <c r="B27" i="1"/>
  <c r="B22" i="2" l="1"/>
  <c r="B21" i="2"/>
  <c r="B20" i="2"/>
  <c r="B24" i="2"/>
  <c r="O20" i="1"/>
  <c r="T18" i="1" s="1"/>
  <c r="O23" i="1" s="1"/>
  <c r="B26" i="2" l="1"/>
  <c r="B19" i="2" l="1"/>
  <c r="B23" i="2" l="1"/>
  <c r="B25" i="2" s="1"/>
  <c r="B28" i="2"/>
  <c r="B31" i="2" s="1"/>
  <c r="D23" i="2" s="1"/>
  <c r="B29" i="2" l="1"/>
  <c r="B30" i="2" s="1"/>
</calcChain>
</file>

<file path=xl/sharedStrings.xml><?xml version="1.0" encoding="utf-8"?>
<sst xmlns="http://schemas.openxmlformats.org/spreadsheetml/2006/main" count="249" uniqueCount="101">
  <si>
    <t>First shift data per headcount (in mins)</t>
  </si>
  <si>
    <t>ROF Data</t>
  </si>
  <si>
    <t>Indirect %</t>
  </si>
  <si>
    <t>Avg mins picking + transaction/ line</t>
  </si>
  <si>
    <t>Breaks</t>
  </si>
  <si>
    <t>Avg mins auditing/ line</t>
  </si>
  <si>
    <t>Avg call out / day</t>
  </si>
  <si>
    <t>Direct mins available per day/ person</t>
  </si>
  <si>
    <t>Indrect time per day / person</t>
  </si>
  <si>
    <t>Break time per day/ person</t>
  </si>
  <si>
    <t>Avg mins to complete a line</t>
  </si>
  <si>
    <t>Direct time per day/ person</t>
  </si>
  <si>
    <t xml:space="preserve">Frequency </t>
  </si>
  <si>
    <t>Fixed times</t>
  </si>
  <si>
    <t>Mins</t>
  </si>
  <si>
    <t>Per day</t>
  </si>
  <si>
    <t xml:space="preserve">Avg pickers first shift </t>
  </si>
  <si>
    <t>5 times/ day</t>
  </si>
  <si>
    <t>Making the driver's log/Staged in transit</t>
  </si>
  <si>
    <t>Avg pickers second shift</t>
  </si>
  <si>
    <t>Input values</t>
  </si>
  <si>
    <t>Avg auditors first shift</t>
  </si>
  <si>
    <t>Avg call out % for site</t>
  </si>
  <si>
    <t>Avg auditors second shift</t>
  </si>
  <si>
    <t>Indirect labor %</t>
  </si>
  <si>
    <t>Avg total pickers with avg callouts</t>
  </si>
  <si>
    <t>Avg pickers first shift</t>
  </si>
  <si>
    <t>Avg total with avg auditors</t>
  </si>
  <si>
    <t>Avg total Headcount</t>
  </si>
  <si>
    <t xml:space="preserve">Direct labor availble mins pickers shift 1 </t>
  </si>
  <si>
    <t>Total heacount w/o callouts</t>
  </si>
  <si>
    <t>Direct labor availble mins pickers shift 2</t>
  </si>
  <si>
    <t>Direct labor available mins for audiotrs shift 1</t>
  </si>
  <si>
    <t xml:space="preserve">Required headcount for given volume </t>
  </si>
  <si>
    <t>Direct labor available mins for audiotrs shift 2</t>
  </si>
  <si>
    <t>Volume input</t>
  </si>
  <si>
    <t>Total picker Direct labor mins/ day</t>
  </si>
  <si>
    <t>Total Auditor Direct labor mins/ day</t>
  </si>
  <si>
    <t>Picking capacity / day</t>
  </si>
  <si>
    <t>Auditing capacity / day</t>
  </si>
  <si>
    <t>Total direct labor time available</t>
  </si>
  <si>
    <t>Avg Stockroom line Capacity / day</t>
  </si>
  <si>
    <t>Orders</t>
  </si>
  <si>
    <t>Lines</t>
  </si>
  <si>
    <t>Picker</t>
  </si>
  <si>
    <t>Fixed(print,update status on sp, etc)</t>
  </si>
  <si>
    <t>Picking/Live transaction time</t>
  </si>
  <si>
    <t>Auditior</t>
  </si>
  <si>
    <t>Audit time/ Staging time</t>
  </si>
  <si>
    <t>Issues with order</t>
  </si>
  <si>
    <t>Accurate?</t>
  </si>
  <si>
    <t>Order #</t>
  </si>
  <si>
    <t>Oscar</t>
  </si>
  <si>
    <t>Joel</t>
  </si>
  <si>
    <t>no</t>
  </si>
  <si>
    <t>yes</t>
  </si>
  <si>
    <t>Tyler</t>
  </si>
  <si>
    <t>Sandra</t>
  </si>
  <si>
    <t>Roque</t>
  </si>
  <si>
    <t>Ivan</t>
  </si>
  <si>
    <t xml:space="preserve">Daniel </t>
  </si>
  <si>
    <t>Justin</t>
  </si>
  <si>
    <t>Emmanuel</t>
  </si>
  <si>
    <t xml:space="preserve">no </t>
  </si>
  <si>
    <t>Offline</t>
  </si>
  <si>
    <t>Total</t>
  </si>
  <si>
    <t>Issues with order y/n</t>
  </si>
  <si>
    <t>Done accuaretly y/n</t>
  </si>
  <si>
    <t>Task</t>
  </si>
  <si>
    <t>Time in mins/ line</t>
  </si>
  <si>
    <t>Avg mins picking per line</t>
  </si>
  <si>
    <t>Avg mins auditing per line</t>
  </si>
  <si>
    <t>yes- half</t>
  </si>
  <si>
    <t>Avg mins for driver log line</t>
  </si>
  <si>
    <t>Avg mins to print/updated Sp per line</t>
  </si>
  <si>
    <t>50715 and 50714</t>
  </si>
  <si>
    <t>Only using first shift</t>
  </si>
  <si>
    <t>Lunch</t>
  </si>
  <si>
    <t>Accounted for</t>
  </si>
  <si>
    <t>Avg mins per line</t>
  </si>
  <si>
    <t>Avg lines per day shipped so far</t>
  </si>
  <si>
    <t>Avg headcount/ day</t>
  </si>
  <si>
    <t>Total mins per day</t>
  </si>
  <si>
    <t xml:space="preserve">Indrect time per day </t>
  </si>
  <si>
    <t>Break time per day</t>
  </si>
  <si>
    <t>Avg lines per person in a day</t>
  </si>
  <si>
    <t>Capacity / day(8 hour shift) given headcount</t>
  </si>
  <si>
    <t>Indirect Time examples</t>
  </si>
  <si>
    <t>Pre shift stand ups</t>
  </si>
  <si>
    <t>Waiting for leads to print orders</t>
  </si>
  <si>
    <t>Walking to pick up a pick slip</t>
  </si>
  <si>
    <t>Stopping an order to start a critical - takes time</t>
  </si>
  <si>
    <t>Auditors making placards, making copies of audit sheets, wrapping racks etc</t>
  </si>
  <si>
    <t>RTS orders- a lot of lines sometimes</t>
  </si>
  <si>
    <t>Brining a MHE and putting it away</t>
  </si>
  <si>
    <t>Time spent talking to leads/ supervisors about order priorities, issues, customer response, transaction issues ETC</t>
  </si>
  <si>
    <t>Lot of other small things that are indirectly needed for daily operations- other sites usually avg around 30%</t>
  </si>
  <si>
    <t>→</t>
  </si>
  <si>
    <t>Jose/Emmanuel</t>
  </si>
  <si>
    <t>ROF per mins</t>
  </si>
  <si>
    <t>ROF per mins/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</si>
</sst>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9" fontId="0" fillId="0" borderId="0" xfId="1" applyFont="1" applyAlignment="1">
      <alignment horizontal="center"/>
    </xf>
    <xf numFmtId="10" fontId="0" fillId="0" borderId="0" xfId="0" applyNumberForma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0" fillId="0" borderId="8" xfId="1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1" fillId="3" borderId="3" xfId="0" applyNumberFormat="1" applyFon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9" fontId="0" fillId="0" borderId="13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4" fontId="1" fillId="6" borderId="15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164" fontId="1" fillId="6" borderId="8" xfId="0" applyNumberFormat="1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164" fontId="1" fillId="6" borderId="12" xfId="0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5" fillId="4" borderId="14" xfId="0" applyNumberFormat="1" applyFont="1" applyFill="1" applyBorder="1" applyAlignment="1">
      <alignment horizontal="center" vertical="center"/>
    </xf>
    <xf numFmtId="164" fontId="5" fillId="4" borderId="15" xfId="0" applyNumberFormat="1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0" fillId="8" borderId="6" xfId="0" applyNumberForma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6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852E63F-65AA-477A-947C-2E3AFB448E22}" name="Table58" displayName="Table58" ref="AG10:AJ17" totalsRowShown="0" headerRowDxfId="67" dataDxfId="66">
  <autoFilter ref="AG10:AJ17" xr:uid="{4452711B-49C2-4EA2-AB0A-8E48DCF1CE65}"/>
  <tableColumns count="4">
    <tableColumn id="1" xr3:uid="{834A6F9D-799E-470D-B309-DCD75DAFF148}" name="Frequency " dataDxfId="65"/>
    <tableColumn id="2" xr3:uid="{55155238-80AE-4FB2-BE53-10DC9382F9F0}" name="Fixed times" dataDxfId="64"/>
    <tableColumn id="3" xr3:uid="{D07413C1-0DFD-4166-B15F-6DBCA891B729}" name="Mins" dataDxfId="63"/>
    <tableColumn id="4" xr3:uid="{DCD335ED-4CB4-4BA2-98AD-8398416C8DA4}" name="Per day" dataDxfId="62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E5390A-A85F-4B40-878B-0A034674B8DC}" name="Table47" displayName="Table47" ref="A1:J34" totalsRowCount="1" headerRowDxfId="61" dataDxfId="60">
  <autoFilter ref="A1:J33" xr:uid="{472D5DB7-8B9F-4BFA-BFC6-9F11229CABA2}"/>
  <tableColumns count="10">
    <tableColumn id="1" xr3:uid="{93E0F58B-4168-46AF-93B6-4A6DC5C2B7D9}" name="Orders" totalsRowLabel="Total" dataDxfId="59" totalsRowDxfId="58"/>
    <tableColumn id="2" xr3:uid="{210C31D3-8CF3-4DD2-8DEA-4CF8FB31F2E3}" name="Lines" totalsRowFunction="sum" dataDxfId="57" totalsRowDxfId="56"/>
    <tableColumn id="3" xr3:uid="{E9EDA46D-ADA7-4A67-B4D1-CA9A52DFFEEA}" name="Picker" dataDxfId="55" totalsRowDxfId="54"/>
    <tableColumn id="12" xr3:uid="{0EBCC821-2EF7-4F6E-992D-648E87DE2421}" name="Fixed(print,update status on sp, etc)" dataDxfId="53" totalsRowDxfId="52"/>
    <tableColumn id="4" xr3:uid="{775B956C-63F2-4693-A3A7-5FFB424BC2A7}" name="Picking/Live transaction time" totalsRowFunction="sum" dataDxfId="51" totalsRowDxfId="50"/>
    <tableColumn id="5" xr3:uid="{A4B49E8D-1D3E-473D-B1C7-BD05FCC692F2}" name="Auditior" dataDxfId="49" totalsRowDxfId="48"/>
    <tableColumn id="6" xr3:uid="{636BB502-39DE-4963-86F5-B1268BEFE085}" name="Audit time/ Staging time" totalsRowFunction="sum" dataDxfId="47" totalsRowDxfId="46"/>
    <tableColumn id="7" xr3:uid="{AD504C75-5F60-4910-A539-19F7F1D220D3}" name="Issues with order" dataDxfId="45" totalsRowDxfId="44"/>
    <tableColumn id="8" xr3:uid="{D94DC99D-A59B-4FD6-8244-2E3436ADDB63}" name="Accurate?" dataDxfId="43" totalsRowDxfId="42"/>
    <tableColumn id="9" xr3:uid="{865C201B-D168-4EF6-B9E4-96D6A9E2A528}" name="Order #" totalsRowFunction="count" dataDxfId="41" totalsRowDxfId="4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2D5DB7-8B9F-4BFA-BFC6-9F11229CABA2}" name="Table4" displayName="Table4" ref="A1:J24" totalsRowCount="1" headerRowDxfId="39" dataDxfId="38">
  <autoFilter ref="A1:J23" xr:uid="{472D5DB7-8B9F-4BFA-BFC6-9F11229CABA2}"/>
  <tableColumns count="10">
    <tableColumn id="1" xr3:uid="{1E031105-F289-47A5-8E27-7A77A9CF4949}" name="Orders" totalsRowLabel="Total" dataDxfId="37" totalsRowDxfId="36"/>
    <tableColumn id="2" xr3:uid="{70831AB4-5B12-4512-910D-C3A6665B5637}" name="Lines" totalsRowFunction="sum" dataDxfId="35" totalsRowDxfId="34"/>
    <tableColumn id="3" xr3:uid="{3E938175-CA13-44A2-A2CC-EB3342E9E83E}" name="Picker" dataDxfId="33" totalsRowDxfId="32"/>
    <tableColumn id="12" xr3:uid="{326AC592-3390-426C-B554-3D77F53CB112}" name="Fixed(print,update status on sp, etc)" totalsRowFunction="sum" dataDxfId="31" totalsRowDxfId="30"/>
    <tableColumn id="4" xr3:uid="{AB995ADE-1665-41DC-B656-6B4D66AEAB22}" name="Picking/Live transaction time" totalsRowFunction="sum" dataDxfId="29" totalsRowDxfId="28"/>
    <tableColumn id="5" xr3:uid="{048C1BB5-3205-48AC-B289-1396E09F4010}" name="Auditior" dataDxfId="27" totalsRowDxfId="26"/>
    <tableColumn id="6" xr3:uid="{ACFE5C83-D6D5-4F81-BB5F-B3FFB74E8894}" name="Audit time/ Staging time" totalsRowFunction="sum" dataDxfId="25" totalsRowDxfId="24"/>
    <tableColumn id="7" xr3:uid="{B2DCBE6E-0EFD-46F0-81AA-93E3B87961F8}" name="Issues with order y/n" dataDxfId="23" totalsRowDxfId="22"/>
    <tableColumn id="8" xr3:uid="{AE1397ED-4710-4ABF-9083-D56CDA8E6C9D}" name="Done accuaretly y/n" dataDxfId="21" totalsRowDxfId="20"/>
    <tableColumn id="9" xr3:uid="{F8809A85-0AE4-45B7-B3BF-9A8E3BCCBE2C}" name="Order #" totalsRowFunction="count" dataDxfId="19" totalsRow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52711B-49C2-4EA2-AB0A-8E48DCF1CE65}" name="Table5" displayName="Table5" ref="N1:Q8" totalsRowShown="0" headerRowDxfId="17" dataDxfId="16">
  <autoFilter ref="N1:Q8" xr:uid="{4452711B-49C2-4EA2-AB0A-8E48DCF1CE65}"/>
  <tableColumns count="4">
    <tableColumn id="1" xr3:uid="{51FC8741-97B1-46A4-907D-EF767C6F1EA6}" name="Frequency " dataDxfId="15"/>
    <tableColumn id="2" xr3:uid="{B994B0D5-7DFD-495D-A8B8-2ED5BD706065}" name="Fixed times" dataDxfId="14"/>
    <tableColumn id="3" xr3:uid="{8EF3B2F8-7FBE-4FE4-A119-DE69A07DC613}" name="Mins" dataDxfId="13"/>
    <tableColumn id="4" xr3:uid="{02E88F7D-A585-4331-B4EB-4BB0891C888B}" name="Per day" dataDxfId="12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03295E-D81B-4914-BFB6-79AEA75316BE}" name="Table1" displayName="Table1" ref="N10:O20" totalsRowCount="1" headerRowDxfId="11" dataDxfId="10">
  <autoFilter ref="N10:O19" xr:uid="{5003295E-D81B-4914-BFB6-79AEA75316BE}"/>
  <tableColumns count="2">
    <tableColumn id="1" xr3:uid="{C4DF6B37-E1DF-43F2-BD90-A7D3DF218389}" name="Task" totalsRowLabel="Avg mins per line" dataDxfId="9" totalsRowDxfId="8"/>
    <tableColumn id="2" xr3:uid="{621288A4-A6D2-4EF9-9C60-2F59C9B1CE78}" name="Time in mins/ line" totalsRowFunction="sum" dataDxfId="7" totalsRowDxfId="6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8999CC-43A7-460A-BE3B-28ACE6781524}" name="Table14" displayName="Table14" ref="V1:W11" totalsRowCount="1" headerRowDxfId="5" dataDxfId="4">
  <autoFilter ref="V1:W10" xr:uid="{118999CC-43A7-460A-BE3B-28ACE6781524}"/>
  <tableColumns count="2">
    <tableColumn id="1" xr3:uid="{A079E625-5A36-4980-82EB-27959172A264}" name="Task" totalsRowLabel="Avg mins per line" dataDxfId="3" totalsRowDxfId="2"/>
    <tableColumn id="2" xr3:uid="{4937D518-4945-4E9E-AB4B-FCD826ED3805}" name="Time in mins/ line" totalsRowFunction="sum" dataDxfId="1" totalsRow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8CE4C-29CB-49B2-9943-CF07F756B960}">
  <dimension ref="A1:AJ31"/>
  <sheetViews>
    <sheetView tabSelected="1" topLeftCell="A12" zoomScale="85" zoomScaleNormal="85" workbookViewId="0">
      <selection activeCell="B26" sqref="B26"/>
    </sheetView>
  </sheetViews>
  <sheetFormatPr defaultColWidth="8.7265625" defaultRowHeight="14.5" x14ac:dyDescent="0.35"/>
  <cols>
    <col min="1" max="1" width="40.453125" style="10" bestFit="1" customWidth="1"/>
    <col min="2" max="2" width="25" style="10" customWidth="1"/>
    <col min="3" max="3" width="25.81640625" style="10" customWidth="1"/>
    <col min="4" max="5" width="32.54296875" style="10" bestFit="1" customWidth="1"/>
    <col min="6" max="6" width="12.81640625" style="10" bestFit="1" customWidth="1"/>
    <col min="7" max="7" width="96" style="10" bestFit="1" customWidth="1"/>
    <col min="8" max="8" width="16.7265625" style="10" customWidth="1"/>
    <col min="9" max="9" width="10.54296875" style="10" customWidth="1"/>
    <col min="10" max="10" width="8.26953125" style="10" customWidth="1"/>
    <col min="11" max="11" width="8.7265625" style="10"/>
    <col min="12" max="16" width="9.1796875" style="10"/>
    <col min="17" max="17" width="16.81640625" style="10" customWidth="1"/>
    <col min="18" max="18" width="15.7265625" style="10" customWidth="1"/>
    <col min="19" max="19" width="28.1796875" style="10" bestFit="1" customWidth="1"/>
    <col min="20" max="20" width="21.1796875" style="10" customWidth="1"/>
    <col min="21" max="16384" width="8.7265625" style="10"/>
  </cols>
  <sheetData>
    <row r="1" spans="1:36" ht="15" thickBot="1" x14ac:dyDescent="0.4"/>
    <row r="2" spans="1:36" ht="15" thickBot="1" x14ac:dyDescent="0.4">
      <c r="A2" s="58" t="s">
        <v>0</v>
      </c>
      <c r="B2" s="59"/>
      <c r="D2" s="64" t="s">
        <v>1</v>
      </c>
      <c r="E2" s="65"/>
    </row>
    <row r="3" spans="1:36" x14ac:dyDescent="0.35">
      <c r="A3" s="11" t="s">
        <v>2</v>
      </c>
      <c r="B3" s="12">
        <f>E14</f>
        <v>0.25</v>
      </c>
      <c r="D3" s="13" t="s">
        <v>3</v>
      </c>
      <c r="E3" s="14">
        <f>Table47[[#Totals],[Picking/Live transaction time]]/SUMIF(Table47[Picking/Live transaction time],"&lt;&gt;",Table47[Lines])</f>
        <v>5.5640000000000001</v>
      </c>
    </row>
    <row r="4" spans="1:36" x14ac:dyDescent="0.35">
      <c r="A4" s="15" t="s">
        <v>4</v>
      </c>
      <c r="B4" s="16">
        <v>6.5000000000000002E-2</v>
      </c>
      <c r="D4" s="17" t="s">
        <v>5</v>
      </c>
      <c r="E4" s="14">
        <f>SUM(Table47[Audit time/ Staging time]) / SUMIF(Table47[Audit time/ Staging time], "&lt;&gt;", Table47[Lines])</f>
        <v>2.75</v>
      </c>
    </row>
    <row r="5" spans="1:36" ht="15" thickBot="1" x14ac:dyDescent="0.4">
      <c r="A5" s="18" t="s">
        <v>6</v>
      </c>
      <c r="B5" s="19">
        <f>$E$13</f>
        <v>0.09</v>
      </c>
      <c r="D5" s="17"/>
      <c r="E5" s="20"/>
    </row>
    <row r="6" spans="1:36" x14ac:dyDescent="0.35">
      <c r="D6" s="21"/>
      <c r="E6" s="22"/>
    </row>
    <row r="7" spans="1:36" x14ac:dyDescent="0.35">
      <c r="A7" s="21" t="s">
        <v>7</v>
      </c>
      <c r="B7" s="23">
        <v>480</v>
      </c>
      <c r="D7" s="21"/>
      <c r="E7" s="22"/>
    </row>
    <row r="8" spans="1:36" ht="15" thickBot="1" x14ac:dyDescent="0.4">
      <c r="A8" s="21" t="s">
        <v>8</v>
      </c>
      <c r="B8" s="23">
        <f>$B$7*$B$3</f>
        <v>120</v>
      </c>
      <c r="D8" s="21"/>
      <c r="E8" s="24"/>
    </row>
    <row r="9" spans="1:36" ht="15" thickBot="1" x14ac:dyDescent="0.4">
      <c r="A9" s="21" t="s">
        <v>9</v>
      </c>
      <c r="B9" s="23">
        <f>$B$7*$B$4</f>
        <v>31.200000000000003</v>
      </c>
      <c r="D9" s="25" t="s">
        <v>10</v>
      </c>
      <c r="E9" s="26">
        <f>SUM(E3:E8)</f>
        <v>8.3140000000000001</v>
      </c>
      <c r="T9" s="27"/>
    </row>
    <row r="10" spans="1:36" x14ac:dyDescent="0.35">
      <c r="A10" s="21" t="s">
        <v>11</v>
      </c>
      <c r="B10" s="23">
        <f>B7-(B8+B9)</f>
        <v>328.8</v>
      </c>
      <c r="T10" s="28"/>
      <c r="AG10" s="29" t="s">
        <v>12</v>
      </c>
      <c r="AH10" s="29" t="s">
        <v>13</v>
      </c>
      <c r="AI10" s="29" t="s">
        <v>14</v>
      </c>
      <c r="AJ10" s="29" t="s">
        <v>15</v>
      </c>
    </row>
    <row r="11" spans="1:36" ht="15" thickBot="1" x14ac:dyDescent="0.4">
      <c r="A11" s="21" t="s">
        <v>16</v>
      </c>
      <c r="B11" s="30">
        <f>(1-$B$5)*E15</f>
        <v>3.64</v>
      </c>
      <c r="AG11" s="10" t="s">
        <v>17</v>
      </c>
      <c r="AH11" s="10" t="s">
        <v>18</v>
      </c>
      <c r="AI11" s="10">
        <v>20</v>
      </c>
      <c r="AJ11" s="10">
        <v>120</v>
      </c>
    </row>
    <row r="12" spans="1:36" ht="15" thickBot="1" x14ac:dyDescent="0.4">
      <c r="A12" s="21" t="s">
        <v>19</v>
      </c>
      <c r="B12" s="30">
        <f>(1-$B$5)*E16</f>
        <v>2.73</v>
      </c>
      <c r="D12" s="62" t="s">
        <v>20</v>
      </c>
      <c r="E12" s="63"/>
      <c r="G12" s="31" t="s">
        <v>87</v>
      </c>
    </row>
    <row r="13" spans="1:36" x14ac:dyDescent="0.35">
      <c r="A13" s="21" t="s">
        <v>21</v>
      </c>
      <c r="B13" s="30">
        <f>(1-$B$5)*E17</f>
        <v>2.2749999999999999</v>
      </c>
      <c r="D13" s="32" t="s">
        <v>22</v>
      </c>
      <c r="E13" s="33">
        <v>0.09</v>
      </c>
      <c r="G13" s="32" t="s">
        <v>88</v>
      </c>
    </row>
    <row r="14" spans="1:36" ht="23.5" x14ac:dyDescent="0.35">
      <c r="A14" s="21" t="s">
        <v>23</v>
      </c>
      <c r="B14" s="30">
        <f>(1-$B$5)*E18</f>
        <v>0.91</v>
      </c>
      <c r="D14" s="21" t="s">
        <v>24</v>
      </c>
      <c r="E14" s="34">
        <v>0.25</v>
      </c>
      <c r="F14" s="9" t="s">
        <v>97</v>
      </c>
      <c r="G14" s="21" t="s">
        <v>89</v>
      </c>
    </row>
    <row r="15" spans="1:36" x14ac:dyDescent="0.35">
      <c r="A15" s="21" t="s">
        <v>25</v>
      </c>
      <c r="B15" s="23">
        <f>$B$11+$B$12</f>
        <v>6.37</v>
      </c>
      <c r="D15" s="35" t="s">
        <v>26</v>
      </c>
      <c r="E15" s="36">
        <v>4</v>
      </c>
      <c r="G15" s="21" t="s">
        <v>90</v>
      </c>
    </row>
    <row r="16" spans="1:36" ht="15" thickBot="1" x14ac:dyDescent="0.4">
      <c r="A16" s="37" t="s">
        <v>27</v>
      </c>
      <c r="B16" s="38">
        <f>$B$13+$B$14</f>
        <v>3.1850000000000001</v>
      </c>
      <c r="D16" s="35" t="s">
        <v>19</v>
      </c>
      <c r="E16" s="36">
        <v>3</v>
      </c>
      <c r="G16" s="21" t="s">
        <v>91</v>
      </c>
    </row>
    <row r="17" spans="1:7" ht="15" thickBot="1" x14ac:dyDescent="0.4">
      <c r="A17" s="39" t="s">
        <v>28</v>
      </c>
      <c r="B17" s="40">
        <f>SUM($B$15:$B$16)</f>
        <v>9.5549999999999997</v>
      </c>
      <c r="D17" s="35" t="s">
        <v>21</v>
      </c>
      <c r="E17" s="36">
        <v>2.5</v>
      </c>
      <c r="G17" s="21" t="s">
        <v>92</v>
      </c>
    </row>
    <row r="18" spans="1:7" x14ac:dyDescent="0.35">
      <c r="B18" s="41"/>
      <c r="D18" s="35" t="s">
        <v>23</v>
      </c>
      <c r="E18" s="36">
        <v>1</v>
      </c>
      <c r="G18" s="21" t="s">
        <v>95</v>
      </c>
    </row>
    <row r="19" spans="1:7" x14ac:dyDescent="0.35">
      <c r="A19" s="21" t="s">
        <v>29</v>
      </c>
      <c r="B19" s="23">
        <f t="shared" ref="B19:B24" si="0">$B$10*B11</f>
        <v>1196.8320000000001</v>
      </c>
      <c r="D19" s="23" t="s">
        <v>30</v>
      </c>
      <c r="E19" s="23">
        <v>11</v>
      </c>
      <c r="G19" s="17" t="s">
        <v>93</v>
      </c>
    </row>
    <row r="20" spans="1:7" x14ac:dyDescent="0.35">
      <c r="A20" s="21" t="s">
        <v>31</v>
      </c>
      <c r="B20" s="23">
        <f t="shared" si="0"/>
        <v>897.62400000000002</v>
      </c>
      <c r="D20" s="41"/>
      <c r="E20" s="41"/>
      <c r="G20" s="21" t="s">
        <v>94</v>
      </c>
    </row>
    <row r="21" spans="1:7" ht="15" thickBot="1" x14ac:dyDescent="0.4">
      <c r="A21" s="21" t="s">
        <v>32</v>
      </c>
      <c r="B21" s="23">
        <f t="shared" si="0"/>
        <v>748.02</v>
      </c>
      <c r="D21" s="60" t="s">
        <v>33</v>
      </c>
      <c r="E21" s="61"/>
      <c r="G21" s="21" t="s">
        <v>96</v>
      </c>
    </row>
    <row r="22" spans="1:7" ht="15" thickBot="1" x14ac:dyDescent="0.4">
      <c r="A22" s="21" t="s">
        <v>34</v>
      </c>
      <c r="B22" s="23">
        <f t="shared" si="0"/>
        <v>299.20800000000003</v>
      </c>
      <c r="D22" s="55" t="s">
        <v>35</v>
      </c>
      <c r="E22" s="42">
        <v>500</v>
      </c>
    </row>
    <row r="23" spans="1:7" ht="19" thickBot="1" x14ac:dyDescent="0.4">
      <c r="A23" s="21" t="s">
        <v>36</v>
      </c>
      <c r="B23" s="23">
        <f t="shared" si="0"/>
        <v>2094.4560000000001</v>
      </c>
      <c r="D23" s="56">
        <f>(E22*E19/B31)</f>
        <v>14.554932959521071</v>
      </c>
      <c r="E23" s="57"/>
    </row>
    <row r="24" spans="1:7" ht="15" thickBot="1" x14ac:dyDescent="0.4">
      <c r="A24" s="37" t="s">
        <v>37</v>
      </c>
      <c r="B24" s="38">
        <f t="shared" si="0"/>
        <v>1047.2280000000001</v>
      </c>
    </row>
    <row r="25" spans="1:7" x14ac:dyDescent="0.35">
      <c r="A25" s="43" t="s">
        <v>38</v>
      </c>
      <c r="B25" s="44">
        <f>B23/E3</f>
        <v>376.42990654205607</v>
      </c>
    </row>
    <row r="26" spans="1:7" ht="15" thickBot="1" x14ac:dyDescent="0.4">
      <c r="A26" s="45" t="s">
        <v>39</v>
      </c>
      <c r="B26" s="46">
        <f>B24/E4</f>
        <v>380.81018181818183</v>
      </c>
    </row>
    <row r="27" spans="1:7" ht="15" thickBot="1" x14ac:dyDescent="0.4">
      <c r="A27" s="47"/>
      <c r="B27" s="48"/>
    </row>
    <row r="28" spans="1:7" x14ac:dyDescent="0.35">
      <c r="A28" s="49" t="s">
        <v>40</v>
      </c>
      <c r="B28" s="50">
        <f>$B$17*$B$10</f>
        <v>3141.6840000000002</v>
      </c>
    </row>
    <row r="29" spans="1:7" x14ac:dyDescent="0.35">
      <c r="A29" s="51" t="s">
        <v>99</v>
      </c>
      <c r="B29" s="52">
        <f>$B$31/($B$17*8)</f>
        <v>4.9434688477267263</v>
      </c>
    </row>
    <row r="30" spans="1:7" ht="15" thickBot="1" x14ac:dyDescent="0.4">
      <c r="A30" s="51" t="s">
        <v>100</v>
      </c>
      <c r="B30" s="52">
        <f>$B$29/$B$11</f>
        <v>1.3580958372875622</v>
      </c>
    </row>
    <row r="31" spans="1:7" ht="15" thickBot="1" x14ac:dyDescent="0.4">
      <c r="A31" s="53" t="s">
        <v>41</v>
      </c>
      <c r="B31" s="54">
        <f>$B$28/$E$9</f>
        <v>377.87875872023096</v>
      </c>
    </row>
  </sheetData>
  <mergeCells count="5">
    <mergeCell ref="D23:E23"/>
    <mergeCell ref="A2:B2"/>
    <mergeCell ref="D21:E21"/>
    <mergeCell ref="D12:E12"/>
    <mergeCell ref="D2:E2"/>
  </mergeCells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7AA22-44CD-4A65-90C8-47E29553C1B7}">
  <dimension ref="A1:J34"/>
  <sheetViews>
    <sheetView topLeftCell="A22" workbookViewId="0">
      <selection activeCell="F5" sqref="F5"/>
    </sheetView>
  </sheetViews>
  <sheetFormatPr defaultColWidth="10.54296875" defaultRowHeight="14.5" x14ac:dyDescent="0.35"/>
  <cols>
    <col min="2" max="2" width="9.54296875" bestFit="1" customWidth="1"/>
    <col min="3" max="3" width="15.1796875" bestFit="1" customWidth="1"/>
    <col min="5" max="5" width="29.81640625" bestFit="1" customWidth="1"/>
    <col min="7" max="7" width="26" bestFit="1" customWidth="1"/>
  </cols>
  <sheetData>
    <row r="1" spans="1:10" x14ac:dyDescent="0.35">
      <c r="A1" s="3" t="s">
        <v>42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49</v>
      </c>
      <c r="I1" s="3" t="s">
        <v>50</v>
      </c>
      <c r="J1" s="3" t="s">
        <v>51</v>
      </c>
    </row>
    <row r="2" spans="1:10" ht="15.5" x14ac:dyDescent="0.35">
      <c r="A2" s="8">
        <v>1</v>
      </c>
      <c r="B2" s="8">
        <v>34</v>
      </c>
      <c r="C2" s="8" t="s">
        <v>52</v>
      </c>
      <c r="D2" s="8"/>
      <c r="E2" s="8">
        <v>166</v>
      </c>
      <c r="F2" s="8" t="s">
        <v>53</v>
      </c>
      <c r="G2" s="8">
        <v>72</v>
      </c>
      <c r="H2" s="8" t="s">
        <v>54</v>
      </c>
      <c r="I2" s="8" t="s">
        <v>55</v>
      </c>
      <c r="J2" s="8">
        <v>50666</v>
      </c>
    </row>
    <row r="3" spans="1:10" ht="15.5" x14ac:dyDescent="0.35">
      <c r="A3" s="1">
        <v>2</v>
      </c>
      <c r="B3" s="1">
        <v>5</v>
      </c>
      <c r="C3" s="1" t="s">
        <v>56</v>
      </c>
      <c r="D3" s="1"/>
      <c r="E3" s="1">
        <v>16</v>
      </c>
      <c r="F3" s="1" t="s">
        <v>57</v>
      </c>
      <c r="G3" s="1">
        <v>6</v>
      </c>
      <c r="H3" s="1" t="s">
        <v>54</v>
      </c>
      <c r="I3" s="1" t="s">
        <v>55</v>
      </c>
      <c r="J3" s="1">
        <v>50704</v>
      </c>
    </row>
    <row r="4" spans="1:10" ht="15.5" x14ac:dyDescent="0.35">
      <c r="A4" s="1">
        <v>3</v>
      </c>
      <c r="B4" s="1">
        <v>46</v>
      </c>
      <c r="C4" s="1" t="s">
        <v>58</v>
      </c>
      <c r="D4" s="1"/>
      <c r="E4" s="1">
        <v>210</v>
      </c>
      <c r="F4" s="1" t="s">
        <v>59</v>
      </c>
      <c r="G4" s="1">
        <v>181</v>
      </c>
      <c r="H4" s="1" t="s">
        <v>54</v>
      </c>
      <c r="I4" s="1" t="s">
        <v>55</v>
      </c>
      <c r="J4" s="1">
        <v>50635</v>
      </c>
    </row>
    <row r="5" spans="1:10" ht="15.5" x14ac:dyDescent="0.35">
      <c r="A5" s="1">
        <v>4</v>
      </c>
      <c r="B5" s="1">
        <v>1</v>
      </c>
      <c r="C5" s="1" t="s">
        <v>52</v>
      </c>
      <c r="D5" s="1"/>
      <c r="E5" s="1">
        <v>9</v>
      </c>
      <c r="F5" s="1" t="s">
        <v>60</v>
      </c>
      <c r="G5" s="1">
        <v>4</v>
      </c>
      <c r="H5" s="1" t="s">
        <v>54</v>
      </c>
      <c r="I5" s="1" t="s">
        <v>55</v>
      </c>
      <c r="J5" s="1">
        <v>50708</v>
      </c>
    </row>
    <row r="6" spans="1:10" ht="15.5" x14ac:dyDescent="0.35">
      <c r="A6" s="1">
        <v>5</v>
      </c>
      <c r="B6" s="1">
        <v>2</v>
      </c>
      <c r="C6" s="1" t="s">
        <v>61</v>
      </c>
      <c r="D6" s="1"/>
      <c r="E6" s="1">
        <v>23</v>
      </c>
      <c r="F6" s="1" t="s">
        <v>59</v>
      </c>
      <c r="G6" s="1">
        <v>3</v>
      </c>
      <c r="H6" s="1" t="s">
        <v>54</v>
      </c>
      <c r="I6" s="1" t="s">
        <v>55</v>
      </c>
      <c r="J6" s="1">
        <v>50715</v>
      </c>
    </row>
    <row r="7" spans="1:10" ht="15.5" x14ac:dyDescent="0.35">
      <c r="A7" s="1">
        <v>6</v>
      </c>
      <c r="B7" s="1">
        <v>2</v>
      </c>
      <c r="C7" s="1" t="s">
        <v>62</v>
      </c>
      <c r="D7" s="1"/>
      <c r="E7" s="1">
        <v>9</v>
      </c>
      <c r="F7" s="1" t="s">
        <v>53</v>
      </c>
      <c r="G7" s="1">
        <v>10</v>
      </c>
      <c r="H7" s="1" t="s">
        <v>55</v>
      </c>
      <c r="I7" s="1" t="s">
        <v>55</v>
      </c>
      <c r="J7" s="1">
        <v>50699</v>
      </c>
    </row>
    <row r="8" spans="1:10" ht="15.5" x14ac:dyDescent="0.35">
      <c r="A8" s="1">
        <v>7</v>
      </c>
      <c r="B8" s="1">
        <v>3</v>
      </c>
      <c r="C8" s="1" t="s">
        <v>53</v>
      </c>
      <c r="D8" s="1"/>
      <c r="E8" s="1">
        <v>16</v>
      </c>
      <c r="F8" s="1" t="s">
        <v>59</v>
      </c>
      <c r="G8" s="1">
        <v>5</v>
      </c>
      <c r="H8" s="1" t="s">
        <v>54</v>
      </c>
      <c r="I8" s="1" t="s">
        <v>55</v>
      </c>
      <c r="J8" s="1">
        <v>50718</v>
      </c>
    </row>
    <row r="9" spans="1:10" ht="15.5" x14ac:dyDescent="0.35">
      <c r="A9" s="1">
        <v>8</v>
      </c>
      <c r="B9" s="1">
        <v>50</v>
      </c>
      <c r="C9" s="1" t="s">
        <v>53</v>
      </c>
      <c r="D9" s="1"/>
      <c r="E9" s="1">
        <v>315</v>
      </c>
      <c r="F9" s="1" t="s">
        <v>61</v>
      </c>
      <c r="G9" s="1">
        <v>83</v>
      </c>
      <c r="H9" s="1" t="s">
        <v>63</v>
      </c>
      <c r="I9" s="1" t="s">
        <v>55</v>
      </c>
      <c r="J9" s="1">
        <v>50663</v>
      </c>
    </row>
    <row r="10" spans="1:10" ht="15.5" x14ac:dyDescent="0.35">
      <c r="A10" s="1">
        <v>9</v>
      </c>
      <c r="B10" s="1">
        <v>1</v>
      </c>
      <c r="C10" s="1" t="s">
        <v>58</v>
      </c>
      <c r="D10" s="1"/>
      <c r="E10" s="1">
        <v>15</v>
      </c>
      <c r="F10" s="1" t="s">
        <v>53</v>
      </c>
      <c r="G10" s="1">
        <v>19</v>
      </c>
      <c r="H10" s="1" t="s">
        <v>54</v>
      </c>
      <c r="I10" s="1" t="s">
        <v>55</v>
      </c>
      <c r="J10" s="1">
        <v>50734</v>
      </c>
    </row>
    <row r="11" spans="1:10" ht="15.5" x14ac:dyDescent="0.35">
      <c r="A11" s="1">
        <v>10</v>
      </c>
      <c r="B11" s="1">
        <v>2</v>
      </c>
      <c r="C11" s="1" t="s">
        <v>52</v>
      </c>
      <c r="D11" s="1"/>
      <c r="E11" s="1">
        <v>40</v>
      </c>
      <c r="F11" s="1" t="s">
        <v>53</v>
      </c>
      <c r="G11" s="1">
        <v>10</v>
      </c>
      <c r="H11" s="1" t="s">
        <v>54</v>
      </c>
      <c r="I11" s="1" t="s">
        <v>55</v>
      </c>
      <c r="J11" s="1">
        <v>50737</v>
      </c>
    </row>
    <row r="12" spans="1:10" ht="15.5" x14ac:dyDescent="0.35">
      <c r="A12" s="1">
        <v>11</v>
      </c>
      <c r="B12" s="1">
        <v>3</v>
      </c>
      <c r="C12" s="1"/>
      <c r="D12" s="1"/>
      <c r="E12" s="1"/>
      <c r="F12" s="1" t="s">
        <v>53</v>
      </c>
      <c r="G12" s="1">
        <v>6</v>
      </c>
      <c r="H12" s="1" t="s">
        <v>54</v>
      </c>
      <c r="I12" s="1" t="s">
        <v>55</v>
      </c>
      <c r="J12" s="1">
        <v>50733</v>
      </c>
    </row>
    <row r="13" spans="1:10" ht="15.5" x14ac:dyDescent="0.35">
      <c r="A13" s="1">
        <v>12</v>
      </c>
      <c r="B13" s="1">
        <v>1</v>
      </c>
      <c r="C13" s="1"/>
      <c r="D13" s="1"/>
      <c r="E13" s="1"/>
      <c r="F13" s="1" t="s">
        <v>53</v>
      </c>
      <c r="G13" s="1">
        <v>19</v>
      </c>
      <c r="H13" s="1" t="s">
        <v>54</v>
      </c>
      <c r="I13" s="1" t="s">
        <v>55</v>
      </c>
      <c r="J13" s="1">
        <v>50734</v>
      </c>
    </row>
    <row r="14" spans="1:10" ht="15.5" x14ac:dyDescent="0.35">
      <c r="A14" s="1">
        <v>13</v>
      </c>
      <c r="B14" s="1">
        <v>28</v>
      </c>
      <c r="C14" s="1"/>
      <c r="D14" s="1"/>
      <c r="E14" s="1"/>
      <c r="F14" s="1" t="s">
        <v>60</v>
      </c>
      <c r="G14" s="1">
        <f>128-30</f>
        <v>98</v>
      </c>
      <c r="H14" s="1" t="s">
        <v>54</v>
      </c>
      <c r="I14" s="1" t="s">
        <v>55</v>
      </c>
      <c r="J14" s="1">
        <v>50639</v>
      </c>
    </row>
    <row r="15" spans="1:10" ht="15.5" x14ac:dyDescent="0.35">
      <c r="A15" s="1">
        <v>14</v>
      </c>
      <c r="B15" s="1">
        <v>9</v>
      </c>
      <c r="C15" s="1"/>
      <c r="D15" s="1"/>
      <c r="E15" s="1"/>
      <c r="F15" s="1" t="s">
        <v>53</v>
      </c>
      <c r="G15" s="1">
        <v>30</v>
      </c>
      <c r="H15" s="1" t="s">
        <v>55</v>
      </c>
      <c r="I15" s="1" t="s">
        <v>55</v>
      </c>
      <c r="J15" s="1">
        <v>50717</v>
      </c>
    </row>
    <row r="16" spans="1:10" ht="15.5" x14ac:dyDescent="0.35">
      <c r="A16" s="1">
        <v>15</v>
      </c>
      <c r="B16" s="1">
        <v>1</v>
      </c>
      <c r="C16" s="1"/>
      <c r="D16" s="1"/>
      <c r="E16" s="1"/>
      <c r="F16" s="1" t="s">
        <v>53</v>
      </c>
      <c r="G16" s="1">
        <v>27</v>
      </c>
      <c r="H16" s="1" t="s">
        <v>54</v>
      </c>
      <c r="I16" s="1" t="s">
        <v>55</v>
      </c>
      <c r="J16" s="1">
        <v>50735</v>
      </c>
    </row>
    <row r="17" spans="1:10" ht="15.5" x14ac:dyDescent="0.35">
      <c r="A17" s="1">
        <v>16</v>
      </c>
      <c r="B17" s="1">
        <v>1</v>
      </c>
      <c r="C17" s="1"/>
      <c r="D17" s="1"/>
      <c r="E17" s="1"/>
      <c r="F17" s="1" t="s">
        <v>53</v>
      </c>
      <c r="G17" s="1">
        <v>10</v>
      </c>
      <c r="H17" s="1" t="s">
        <v>54</v>
      </c>
      <c r="I17" s="1" t="s">
        <v>55</v>
      </c>
      <c r="J17" s="1">
        <v>50737</v>
      </c>
    </row>
    <row r="18" spans="1:10" ht="15.5" x14ac:dyDescent="0.35">
      <c r="A18" s="1">
        <v>17</v>
      </c>
      <c r="B18" s="1">
        <v>1</v>
      </c>
      <c r="C18" s="1" t="s">
        <v>52</v>
      </c>
      <c r="D18" s="1"/>
      <c r="E18" s="1">
        <v>10</v>
      </c>
      <c r="F18" s="1"/>
      <c r="G18" s="1"/>
      <c r="H18" s="1" t="s">
        <v>54</v>
      </c>
      <c r="I18" s="1" t="s">
        <v>55</v>
      </c>
      <c r="J18" s="1">
        <v>50741</v>
      </c>
    </row>
    <row r="19" spans="1:10" ht="15.5" x14ac:dyDescent="0.35">
      <c r="A19" s="1">
        <v>18</v>
      </c>
      <c r="B19" s="1">
        <v>28</v>
      </c>
      <c r="C19" s="1"/>
      <c r="D19" s="1"/>
      <c r="E19" s="1"/>
      <c r="F19" s="1" t="s">
        <v>59</v>
      </c>
      <c r="G19" s="1">
        <v>56</v>
      </c>
      <c r="H19" s="1" t="s">
        <v>54</v>
      </c>
      <c r="I19" s="1" t="s">
        <v>55</v>
      </c>
      <c r="J19" s="1">
        <v>50637</v>
      </c>
    </row>
    <row r="20" spans="1:10" ht="15.5" x14ac:dyDescent="0.35">
      <c r="A20" s="1">
        <v>19</v>
      </c>
      <c r="B20" s="1">
        <v>50</v>
      </c>
      <c r="C20" s="1"/>
      <c r="D20" s="1"/>
      <c r="E20" s="1"/>
      <c r="F20" s="1" t="s">
        <v>61</v>
      </c>
      <c r="G20" s="1">
        <f>60+23</f>
        <v>83</v>
      </c>
      <c r="H20" s="1" t="s">
        <v>63</v>
      </c>
      <c r="I20" s="1" t="s">
        <v>55</v>
      </c>
      <c r="J20" s="1">
        <v>50663</v>
      </c>
    </row>
    <row r="21" spans="1:10" ht="15.5" x14ac:dyDescent="0.35">
      <c r="A21" s="1">
        <v>20</v>
      </c>
      <c r="B21" s="1">
        <v>1</v>
      </c>
      <c r="C21" s="1" t="s">
        <v>56</v>
      </c>
      <c r="D21" s="1"/>
      <c r="E21" s="1">
        <v>25</v>
      </c>
      <c r="F21" s="1" t="s">
        <v>53</v>
      </c>
      <c r="G21" s="1">
        <v>42</v>
      </c>
      <c r="H21" s="1" t="s">
        <v>54</v>
      </c>
      <c r="I21" s="1" t="s">
        <v>55</v>
      </c>
      <c r="J21" s="1">
        <v>50744</v>
      </c>
    </row>
    <row r="22" spans="1:10" ht="15.5" x14ac:dyDescent="0.35">
      <c r="A22" s="1">
        <v>21</v>
      </c>
      <c r="B22" s="1">
        <v>92</v>
      </c>
      <c r="C22" s="1" t="s">
        <v>98</v>
      </c>
      <c r="D22" s="1"/>
      <c r="E22" s="1">
        <f>285+150</f>
        <v>435</v>
      </c>
      <c r="F22" s="1"/>
      <c r="G22" s="1"/>
      <c r="H22" s="1"/>
      <c r="I22" s="1"/>
      <c r="J22" s="1">
        <v>50723</v>
      </c>
    </row>
    <row r="23" spans="1:10" ht="15.5" x14ac:dyDescent="0.35">
      <c r="A23" s="1">
        <v>22</v>
      </c>
      <c r="B23" s="1">
        <v>1</v>
      </c>
      <c r="C23" s="1" t="s">
        <v>52</v>
      </c>
      <c r="D23" s="1"/>
      <c r="E23" s="1">
        <v>30</v>
      </c>
      <c r="F23" s="1" t="s">
        <v>60</v>
      </c>
      <c r="G23" s="1">
        <v>4</v>
      </c>
      <c r="H23" s="1" t="s">
        <v>54</v>
      </c>
      <c r="I23" s="1" t="s">
        <v>55</v>
      </c>
      <c r="J23" s="1">
        <v>50742</v>
      </c>
    </row>
    <row r="24" spans="1:10" ht="15.5" x14ac:dyDescent="0.35">
      <c r="A24" s="1">
        <v>23</v>
      </c>
      <c r="B24" s="1">
        <v>3</v>
      </c>
      <c r="C24" s="1"/>
      <c r="D24" s="1"/>
      <c r="E24" s="1"/>
      <c r="F24" s="1" t="s">
        <v>57</v>
      </c>
      <c r="G24" s="1">
        <v>2</v>
      </c>
      <c r="H24" s="1" t="s">
        <v>54</v>
      </c>
      <c r="I24" s="1" t="s">
        <v>55</v>
      </c>
      <c r="J24" s="1" t="s">
        <v>64</v>
      </c>
    </row>
    <row r="25" spans="1:10" ht="15.5" x14ac:dyDescent="0.35">
      <c r="A25" s="1">
        <v>24</v>
      </c>
      <c r="B25" s="1">
        <v>13</v>
      </c>
      <c r="C25" s="1"/>
      <c r="D25" s="1"/>
      <c r="E25" s="1"/>
      <c r="F25" s="1" t="s">
        <v>57</v>
      </c>
      <c r="G25" s="1">
        <v>2</v>
      </c>
      <c r="H25" s="1" t="s">
        <v>54</v>
      </c>
      <c r="I25" s="1" t="s">
        <v>55</v>
      </c>
      <c r="J25" s="1">
        <v>50724</v>
      </c>
    </row>
    <row r="26" spans="1:10" ht="15.5" x14ac:dyDescent="0.35">
      <c r="A26" s="1">
        <v>25</v>
      </c>
      <c r="B26" s="1">
        <v>1</v>
      </c>
      <c r="C26" s="1"/>
      <c r="D26" s="1"/>
      <c r="E26" s="1"/>
      <c r="F26" s="1" t="s">
        <v>57</v>
      </c>
      <c r="G26" s="1">
        <v>5</v>
      </c>
      <c r="H26" s="1" t="s">
        <v>54</v>
      </c>
      <c r="I26" s="1" t="s">
        <v>55</v>
      </c>
      <c r="J26" s="1">
        <v>50732</v>
      </c>
    </row>
    <row r="27" spans="1:10" ht="15.5" x14ac:dyDescent="0.35">
      <c r="A27" s="1">
        <v>26</v>
      </c>
      <c r="B27" s="1">
        <v>1</v>
      </c>
      <c r="C27" s="1"/>
      <c r="D27" s="1"/>
      <c r="E27" s="1"/>
      <c r="F27" s="1" t="s">
        <v>60</v>
      </c>
      <c r="G27" s="1">
        <v>7</v>
      </c>
      <c r="H27" s="1" t="s">
        <v>63</v>
      </c>
      <c r="I27" s="1" t="s">
        <v>55</v>
      </c>
      <c r="J27" s="1">
        <v>50731</v>
      </c>
    </row>
    <row r="28" spans="1:10" ht="15.5" x14ac:dyDescent="0.35">
      <c r="A28" s="1">
        <v>27</v>
      </c>
      <c r="B28" s="1"/>
      <c r="C28" s="1"/>
      <c r="D28" s="1"/>
      <c r="E28" s="1"/>
      <c r="F28" s="1" t="s">
        <v>60</v>
      </c>
      <c r="G28" s="1">
        <v>5</v>
      </c>
      <c r="H28" s="1" t="s">
        <v>54</v>
      </c>
      <c r="I28" s="1" t="s">
        <v>55</v>
      </c>
      <c r="J28" s="1">
        <v>50712</v>
      </c>
    </row>
    <row r="29" spans="1:10" ht="15.5" x14ac:dyDescent="0.35">
      <c r="A29" s="1">
        <v>28</v>
      </c>
      <c r="B29" s="1">
        <v>5</v>
      </c>
      <c r="C29" s="1" t="s">
        <v>53</v>
      </c>
      <c r="D29" s="1"/>
      <c r="E29" s="1">
        <v>40</v>
      </c>
      <c r="F29" s="1" t="s">
        <v>59</v>
      </c>
      <c r="G29" s="1">
        <v>9</v>
      </c>
      <c r="H29" s="1" t="s">
        <v>54</v>
      </c>
      <c r="I29" s="1" t="s">
        <v>55</v>
      </c>
      <c r="J29" s="1">
        <v>50747</v>
      </c>
    </row>
    <row r="30" spans="1:10" ht="15.5" x14ac:dyDescent="0.35">
      <c r="A30" s="1">
        <v>29</v>
      </c>
      <c r="B30" s="1">
        <v>4</v>
      </c>
      <c r="C30" s="1" t="s">
        <v>56</v>
      </c>
      <c r="D30" s="1"/>
      <c r="E30" s="1">
        <v>32</v>
      </c>
      <c r="F30" s="1" t="s">
        <v>57</v>
      </c>
      <c r="G30" s="1">
        <v>16</v>
      </c>
      <c r="H30" s="1" t="s">
        <v>54</v>
      </c>
      <c r="I30" s="1" t="s">
        <v>55</v>
      </c>
      <c r="J30" s="1">
        <v>50750</v>
      </c>
    </row>
    <row r="31" spans="1:10" ht="15.5" x14ac:dyDescent="0.35">
      <c r="A31" s="1">
        <v>30</v>
      </c>
      <c r="B31" s="1"/>
      <c r="C31" s="1"/>
      <c r="D31" s="1"/>
      <c r="E31" s="1"/>
      <c r="F31" s="1"/>
      <c r="G31" s="1"/>
      <c r="H31" s="1"/>
      <c r="I31" s="1"/>
      <c r="J31" s="1"/>
    </row>
    <row r="32" spans="1:10" ht="15.5" x14ac:dyDescent="0.35">
      <c r="A32" s="1">
        <v>31</v>
      </c>
      <c r="B32" s="1"/>
      <c r="C32" s="1"/>
      <c r="D32" s="1"/>
      <c r="E32" s="1"/>
      <c r="F32" s="1"/>
      <c r="G32" s="1"/>
      <c r="H32" s="1"/>
      <c r="I32" s="1"/>
      <c r="J32" s="1"/>
    </row>
    <row r="33" spans="1:10" ht="15.5" x14ac:dyDescent="0.35">
      <c r="A33" s="7">
        <v>32</v>
      </c>
      <c r="B33" s="7"/>
      <c r="C33" s="7"/>
      <c r="D33" s="7"/>
      <c r="E33" s="7"/>
      <c r="F33" s="7"/>
      <c r="G33" s="7"/>
      <c r="H33" s="7"/>
      <c r="I33" s="7"/>
      <c r="J33" s="7"/>
    </row>
    <row r="34" spans="1:10" ht="15.5" x14ac:dyDescent="0.35">
      <c r="A34" s="1" t="s">
        <v>65</v>
      </c>
      <c r="B34" s="1">
        <f>SUBTOTAL(109,Table47[Lines])</f>
        <v>389</v>
      </c>
      <c r="C34" s="1"/>
      <c r="D34" s="1"/>
      <c r="E34" s="1">
        <f>SUBTOTAL(109,Table47[Picking/Live transaction time])</f>
        <v>1391</v>
      </c>
      <c r="F34" s="1"/>
      <c r="G34" s="1">
        <f>SUBTOTAL(109,Table47[Audit time/ Staging time])</f>
        <v>814</v>
      </c>
      <c r="H34" s="1"/>
      <c r="I34" s="1"/>
      <c r="J34" s="1">
        <f>SUBTOTAL(103,Table47[Order '#])</f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2CF5-3CB6-422F-AFE5-4372ABDBDB07}">
  <dimension ref="A1:W27"/>
  <sheetViews>
    <sheetView topLeftCell="J3" zoomScale="90" zoomScaleNormal="90" workbookViewId="0">
      <selection activeCell="N10" sqref="N10:O20"/>
    </sheetView>
  </sheetViews>
  <sheetFormatPr defaultColWidth="8.7265625" defaultRowHeight="14.5" x14ac:dyDescent="0.35"/>
  <cols>
    <col min="1" max="1" width="25" style="3" customWidth="1"/>
    <col min="2" max="2" width="14.26953125" style="3" customWidth="1"/>
    <col min="3" max="3" width="26.54296875" style="3" customWidth="1"/>
    <col min="4" max="4" width="46.54296875" style="3" bestFit="1" customWidth="1"/>
    <col min="5" max="5" width="27.453125" style="3" customWidth="1"/>
    <col min="6" max="6" width="17.26953125" style="3" customWidth="1"/>
    <col min="7" max="7" width="23.1796875" style="3" customWidth="1"/>
    <col min="8" max="8" width="21.1796875" style="3" customWidth="1"/>
    <col min="9" max="9" width="20.54296875" style="3" customWidth="1"/>
    <col min="10" max="10" width="23.81640625" style="3" customWidth="1"/>
    <col min="11" max="11" width="8.7265625" style="3"/>
    <col min="12" max="12" width="8.7265625" style="3" customWidth="1"/>
    <col min="13" max="13" width="9.7265625" style="3" customWidth="1"/>
    <col min="14" max="14" width="39.1796875" style="3" bestFit="1" customWidth="1"/>
    <col min="15" max="15" width="35.453125" style="3" bestFit="1" customWidth="1"/>
    <col min="16" max="16" width="11.54296875" style="3" customWidth="1"/>
    <col min="17" max="17" width="16.81640625" style="3" customWidth="1"/>
    <col min="18" max="18" width="9.7265625" style="3" customWidth="1"/>
    <col min="19" max="19" width="28.1796875" style="3" bestFit="1" customWidth="1"/>
    <col min="20" max="20" width="21.1796875" style="3" customWidth="1"/>
    <col min="21" max="16384" width="8.7265625" style="3"/>
  </cols>
  <sheetData>
    <row r="1" spans="1:23" x14ac:dyDescent="0.35">
      <c r="A1" s="3" t="s">
        <v>42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66</v>
      </c>
      <c r="I1" s="3" t="s">
        <v>67</v>
      </c>
      <c r="J1" s="3" t="s">
        <v>51</v>
      </c>
      <c r="N1" s="4" t="s">
        <v>12</v>
      </c>
      <c r="O1" s="4" t="s">
        <v>13</v>
      </c>
      <c r="P1" s="4" t="s">
        <v>14</v>
      </c>
      <c r="Q1" s="4" t="s">
        <v>15</v>
      </c>
      <c r="V1" s="3" t="s">
        <v>68</v>
      </c>
      <c r="W1" s="3" t="s">
        <v>69</v>
      </c>
    </row>
    <row r="2" spans="1:23" ht="15.5" x14ac:dyDescent="0.35">
      <c r="A2" s="1">
        <v>1</v>
      </c>
      <c r="B2" s="1">
        <v>34</v>
      </c>
      <c r="C2" s="1" t="s">
        <v>52</v>
      </c>
      <c r="D2" s="1">
        <v>2</v>
      </c>
      <c r="E2" s="1">
        <v>166</v>
      </c>
      <c r="F2" s="1" t="s">
        <v>53</v>
      </c>
      <c r="G2" s="1">
        <v>72</v>
      </c>
      <c r="H2" s="1" t="s">
        <v>54</v>
      </c>
      <c r="I2" s="1" t="s">
        <v>55</v>
      </c>
      <c r="J2" s="1">
        <v>50666</v>
      </c>
      <c r="N2" s="3" t="s">
        <v>17</v>
      </c>
      <c r="O2" s="3" t="s">
        <v>18</v>
      </c>
      <c r="P2" s="3">
        <v>20</v>
      </c>
      <c r="Q2" s="3">
        <v>120</v>
      </c>
      <c r="V2" s="3" t="s">
        <v>70</v>
      </c>
      <c r="W2" s="3">
        <f>Table4[[#Totals],[Picking/Live transaction time]]/Table4[[#Totals],[Lines]]</f>
        <v>5.4097222222222223</v>
      </c>
    </row>
    <row r="3" spans="1:23" ht="15.5" x14ac:dyDescent="0.35">
      <c r="A3" s="1">
        <v>2</v>
      </c>
      <c r="B3" s="1">
        <v>5</v>
      </c>
      <c r="C3" s="1" t="s">
        <v>56</v>
      </c>
      <c r="D3" s="1">
        <v>2</v>
      </c>
      <c r="E3" s="1">
        <v>16</v>
      </c>
      <c r="F3" s="1" t="s">
        <v>57</v>
      </c>
      <c r="G3" s="1">
        <v>6</v>
      </c>
      <c r="H3" s="1" t="s">
        <v>54</v>
      </c>
      <c r="I3" s="1" t="s">
        <v>55</v>
      </c>
      <c r="J3" s="1">
        <v>50704</v>
      </c>
      <c r="V3" s="3" t="s">
        <v>71</v>
      </c>
      <c r="W3" s="3">
        <f>Table4[[#Totals],[Audit time/ Staging time]]/Table4[[#Totals],[Lines]]</f>
        <v>2.5972222222222223</v>
      </c>
    </row>
    <row r="4" spans="1:23" ht="15.5" x14ac:dyDescent="0.35">
      <c r="A4" s="1">
        <v>3</v>
      </c>
      <c r="B4" s="1">
        <v>46</v>
      </c>
      <c r="C4" s="1" t="s">
        <v>58</v>
      </c>
      <c r="D4" s="1">
        <v>2</v>
      </c>
      <c r="E4" s="1">
        <v>210</v>
      </c>
      <c r="F4" s="1" t="s">
        <v>59</v>
      </c>
      <c r="G4" s="1">
        <v>181</v>
      </c>
      <c r="H4" s="1" t="s">
        <v>54</v>
      </c>
      <c r="I4" s="1" t="s">
        <v>72</v>
      </c>
      <c r="J4" s="1">
        <v>50635</v>
      </c>
      <c r="V4" s="3" t="s">
        <v>73</v>
      </c>
      <c r="W4" s="3" t="e">
        <f>#REF!/AB3</f>
        <v>#REF!</v>
      </c>
    </row>
    <row r="5" spans="1:23" ht="15.5" x14ac:dyDescent="0.35">
      <c r="A5" s="1">
        <v>4</v>
      </c>
      <c r="B5" s="1">
        <v>1</v>
      </c>
      <c r="C5" s="1" t="s">
        <v>52</v>
      </c>
      <c r="D5" s="1">
        <v>2</v>
      </c>
      <c r="E5" s="1">
        <v>9</v>
      </c>
      <c r="F5" s="1" t="s">
        <v>60</v>
      </c>
      <c r="G5" s="1">
        <v>4</v>
      </c>
      <c r="H5" s="1" t="s">
        <v>54</v>
      </c>
      <c r="I5" s="1" t="s">
        <v>55</v>
      </c>
      <c r="J5" s="1">
        <v>50708</v>
      </c>
      <c r="V5" s="3" t="s">
        <v>74</v>
      </c>
      <c r="W5" s="3" t="e">
        <f>SUM(#REF!)/SUM(#REF!)</f>
        <v>#REF!</v>
      </c>
    </row>
    <row r="6" spans="1:23" ht="15.5" x14ac:dyDescent="0.35">
      <c r="A6" s="1">
        <v>5</v>
      </c>
      <c r="B6" s="1">
        <v>2</v>
      </c>
      <c r="C6" s="1" t="s">
        <v>61</v>
      </c>
      <c r="D6" s="1">
        <v>2</v>
      </c>
      <c r="E6" s="1">
        <v>23</v>
      </c>
      <c r="F6" s="1" t="s">
        <v>59</v>
      </c>
      <c r="G6" s="1">
        <v>13</v>
      </c>
      <c r="H6" s="1" t="s">
        <v>54</v>
      </c>
      <c r="I6" s="1" t="s">
        <v>55</v>
      </c>
      <c r="J6" s="1" t="s">
        <v>75</v>
      </c>
    </row>
    <row r="7" spans="1:23" ht="15.5" x14ac:dyDescent="0.35">
      <c r="A7" s="1">
        <v>6</v>
      </c>
      <c r="B7" s="1">
        <v>2</v>
      </c>
      <c r="C7" s="1" t="s">
        <v>62</v>
      </c>
      <c r="D7" s="1">
        <v>2</v>
      </c>
      <c r="E7" s="1">
        <v>9</v>
      </c>
      <c r="F7" s="1" t="s">
        <v>53</v>
      </c>
      <c r="G7" s="1">
        <v>10</v>
      </c>
      <c r="H7" s="1" t="s">
        <v>55</v>
      </c>
      <c r="I7" s="1" t="s">
        <v>55</v>
      </c>
      <c r="J7" s="1">
        <v>50699</v>
      </c>
    </row>
    <row r="8" spans="1:23" ht="15.5" x14ac:dyDescent="0.35">
      <c r="A8" s="1">
        <v>7</v>
      </c>
      <c r="B8" s="1">
        <v>3</v>
      </c>
      <c r="C8" s="1" t="s">
        <v>53</v>
      </c>
      <c r="D8" s="1">
        <v>2</v>
      </c>
      <c r="E8" s="1">
        <v>16</v>
      </c>
      <c r="F8" s="1" t="s">
        <v>59</v>
      </c>
      <c r="G8" s="1">
        <v>5</v>
      </c>
      <c r="H8" s="1" t="s">
        <v>54</v>
      </c>
      <c r="I8" s="1" t="s">
        <v>55</v>
      </c>
      <c r="J8" s="1">
        <v>50718</v>
      </c>
      <c r="S8" s="66" t="s">
        <v>76</v>
      </c>
      <c r="T8" s="66"/>
    </row>
    <row r="9" spans="1:23" ht="15.5" x14ac:dyDescent="0.35">
      <c r="A9" s="1">
        <v>8</v>
      </c>
      <c r="B9" s="1">
        <v>50</v>
      </c>
      <c r="C9" s="1" t="s">
        <v>53</v>
      </c>
      <c r="D9" s="1">
        <v>2</v>
      </c>
      <c r="E9" s="1">
        <v>315</v>
      </c>
      <c r="F9" s="1" t="s">
        <v>61</v>
      </c>
      <c r="G9" s="1">
        <v>83</v>
      </c>
      <c r="H9" s="1" t="s">
        <v>63</v>
      </c>
      <c r="I9" s="1" t="s">
        <v>55</v>
      </c>
      <c r="J9" s="1">
        <v>50663</v>
      </c>
      <c r="S9" s="3" t="s">
        <v>2</v>
      </c>
      <c r="T9" s="5">
        <v>0.2</v>
      </c>
    </row>
    <row r="10" spans="1:23" ht="15.5" x14ac:dyDescent="0.35">
      <c r="A10" s="1">
        <v>9</v>
      </c>
      <c r="B10" s="1">
        <v>1</v>
      </c>
      <c r="C10" s="1" t="s">
        <v>58</v>
      </c>
      <c r="D10" s="1">
        <v>2</v>
      </c>
      <c r="E10" s="1">
        <v>15</v>
      </c>
      <c r="F10" s="1"/>
      <c r="G10" s="1"/>
      <c r="H10" s="1"/>
      <c r="I10" s="1"/>
      <c r="J10" s="1">
        <v>50734</v>
      </c>
      <c r="N10" s="3" t="s">
        <v>68</v>
      </c>
      <c r="O10" s="3" t="s">
        <v>69</v>
      </c>
      <c r="S10" s="3" t="s">
        <v>4</v>
      </c>
      <c r="T10" s="6">
        <v>6.5000000000000002E-2</v>
      </c>
    </row>
    <row r="11" spans="1:23" ht="15.5" x14ac:dyDescent="0.35">
      <c r="A11" s="1">
        <v>10</v>
      </c>
      <c r="B11" s="1"/>
      <c r="C11" s="1"/>
      <c r="D11" s="1"/>
      <c r="E11" s="1"/>
      <c r="F11" s="1"/>
      <c r="G11" s="1"/>
      <c r="H11" s="1"/>
      <c r="I11" s="1"/>
      <c r="J11" s="1"/>
      <c r="N11" s="3" t="s">
        <v>70</v>
      </c>
      <c r="O11" s="3">
        <f>Table4[[#Totals],[Picking/Live transaction time]]/Table4[[#Totals],[Lines]]</f>
        <v>5.4097222222222223</v>
      </c>
      <c r="S11" s="3" t="s">
        <v>77</v>
      </c>
      <c r="T11" s="3" t="s">
        <v>78</v>
      </c>
      <c r="V11" s="3" t="s">
        <v>79</v>
      </c>
      <c r="W11" s="3" t="e">
        <f>SUBTOTAL(109,Table14[Time in mins/ line])</f>
        <v>#REF!</v>
      </c>
    </row>
    <row r="12" spans="1:23" ht="15.5" x14ac:dyDescent="0.35">
      <c r="A12" s="1">
        <v>11</v>
      </c>
      <c r="B12" s="1"/>
      <c r="C12" s="1"/>
      <c r="D12" s="1"/>
      <c r="E12" s="1"/>
      <c r="F12" s="1"/>
      <c r="G12" s="1"/>
      <c r="H12" s="1"/>
      <c r="I12" s="1"/>
      <c r="J12" s="1"/>
      <c r="N12" s="3" t="s">
        <v>71</v>
      </c>
      <c r="O12" s="3">
        <f>Table4[[#Totals],[Audit time/ Staging time]]/Table4[[#Totals],[Lines]]</f>
        <v>2.5972222222222223</v>
      </c>
      <c r="S12" s="3" t="s">
        <v>80</v>
      </c>
      <c r="T12" s="3">
        <v>400</v>
      </c>
    </row>
    <row r="13" spans="1:23" ht="15.5" x14ac:dyDescent="0.35">
      <c r="A13" s="1">
        <v>12</v>
      </c>
      <c r="B13" s="1"/>
      <c r="C13" s="1"/>
      <c r="D13" s="1"/>
      <c r="E13" s="1"/>
      <c r="F13" s="1"/>
      <c r="G13" s="1"/>
      <c r="H13" s="1"/>
      <c r="I13" s="1"/>
      <c r="J13" s="1"/>
      <c r="N13" s="3" t="s">
        <v>73</v>
      </c>
      <c r="O13" s="3">
        <f>Q2/T12</f>
        <v>0.3</v>
      </c>
      <c r="S13" s="3" t="s">
        <v>81</v>
      </c>
      <c r="T13" s="3">
        <v>7</v>
      </c>
    </row>
    <row r="14" spans="1:23" ht="15.5" x14ac:dyDescent="0.35">
      <c r="A14" s="1">
        <v>13</v>
      </c>
      <c r="B14" s="1"/>
      <c r="C14" s="1"/>
      <c r="D14" s="1"/>
      <c r="E14" s="1"/>
      <c r="F14" s="1"/>
      <c r="G14" s="1"/>
      <c r="H14" s="1"/>
      <c r="I14" s="1"/>
      <c r="J14" s="1"/>
      <c r="N14" s="3" t="s">
        <v>74</v>
      </c>
      <c r="O14" s="3">
        <f>SUM(D2:D9)/SUM(B2:B9)</f>
        <v>0.11188811188811189</v>
      </c>
      <c r="S14" s="3" t="s">
        <v>82</v>
      </c>
      <c r="T14" s="3">
        <v>480</v>
      </c>
    </row>
    <row r="15" spans="1:23" ht="15.5" x14ac:dyDescent="0.35">
      <c r="A15" s="1">
        <v>14</v>
      </c>
      <c r="B15" s="1"/>
      <c r="C15" s="1"/>
      <c r="D15" s="1"/>
      <c r="E15" s="1"/>
      <c r="F15" s="1"/>
      <c r="G15" s="1"/>
      <c r="H15" s="1"/>
      <c r="I15" s="1"/>
      <c r="J15" s="1"/>
      <c r="S15" s="3" t="s">
        <v>83</v>
      </c>
      <c r="T15" s="3">
        <f>T14*T9</f>
        <v>96</v>
      </c>
    </row>
    <row r="16" spans="1:23" ht="15.5" x14ac:dyDescent="0.35">
      <c r="A16" s="1">
        <v>15</v>
      </c>
      <c r="B16" s="1"/>
      <c r="C16" s="1"/>
      <c r="D16" s="1"/>
      <c r="E16" s="1"/>
      <c r="F16" s="1"/>
      <c r="G16" s="1"/>
      <c r="H16" s="1"/>
      <c r="I16" s="1"/>
      <c r="J16" s="1"/>
      <c r="S16" s="3" t="s">
        <v>84</v>
      </c>
      <c r="T16" s="3">
        <f>T14*T10</f>
        <v>31.200000000000003</v>
      </c>
    </row>
    <row r="17" spans="1:20" ht="15.5" x14ac:dyDescent="0.35">
      <c r="A17" s="1">
        <v>16</v>
      </c>
      <c r="B17" s="1"/>
      <c r="C17" s="1"/>
      <c r="D17" s="1"/>
      <c r="E17" s="1"/>
      <c r="F17" s="1"/>
      <c r="G17" s="1"/>
      <c r="H17" s="1"/>
      <c r="I17" s="1"/>
      <c r="J17" s="1"/>
      <c r="S17" s="3" t="s">
        <v>11</v>
      </c>
      <c r="T17" s="3">
        <f>T14-(T15+T16)</f>
        <v>352.8</v>
      </c>
    </row>
    <row r="18" spans="1:20" ht="15.5" x14ac:dyDescent="0.35">
      <c r="A18" s="1">
        <v>17</v>
      </c>
      <c r="B18" s="1"/>
      <c r="C18" s="1"/>
      <c r="D18" s="1"/>
      <c r="E18" s="1"/>
      <c r="F18" s="1"/>
      <c r="G18" s="1"/>
      <c r="H18" s="1"/>
      <c r="I18" s="1"/>
      <c r="J18" s="1"/>
      <c r="S18" s="3" t="s">
        <v>85</v>
      </c>
      <c r="T18" s="3">
        <f>T17/Table1[[#Totals],[Time in mins/ line]]</f>
        <v>41.906047856317983</v>
      </c>
    </row>
    <row r="19" spans="1:20" ht="15.5" x14ac:dyDescent="0.35">
      <c r="A19" s="1">
        <v>18</v>
      </c>
      <c r="B19" s="1"/>
      <c r="C19" s="1"/>
      <c r="D19" s="1"/>
      <c r="E19" s="1"/>
      <c r="F19" s="1"/>
      <c r="G19" s="1"/>
      <c r="H19" s="1"/>
      <c r="I19" s="1"/>
      <c r="J19" s="1"/>
    </row>
    <row r="20" spans="1:20" ht="15.5" x14ac:dyDescent="0.35">
      <c r="A20" s="1">
        <v>19</v>
      </c>
      <c r="B20" s="1"/>
      <c r="C20" s="1"/>
      <c r="D20" s="1"/>
      <c r="E20" s="1"/>
      <c r="F20" s="1"/>
      <c r="G20" s="1"/>
      <c r="H20" s="1"/>
      <c r="I20" s="1"/>
      <c r="J20" s="1"/>
      <c r="N20" s="3" t="s">
        <v>79</v>
      </c>
      <c r="O20" s="3">
        <f>SUBTOTAL(109,Table1[Time in mins/ line])</f>
        <v>8.418832556332557</v>
      </c>
    </row>
    <row r="21" spans="1:20" ht="15.5" x14ac:dyDescent="0.35">
      <c r="A21" s="1">
        <v>20</v>
      </c>
      <c r="B21" s="1"/>
      <c r="C21" s="1"/>
      <c r="D21" s="1"/>
      <c r="E21" s="1"/>
      <c r="F21" s="1"/>
      <c r="G21" s="1"/>
      <c r="H21" s="1"/>
      <c r="I21" s="1"/>
      <c r="J21" s="1"/>
    </row>
    <row r="22" spans="1:20" ht="15.5" x14ac:dyDescent="0.35">
      <c r="A22" s="1">
        <v>21</v>
      </c>
      <c r="B22" s="2"/>
      <c r="C22" s="2"/>
      <c r="D22" s="2"/>
      <c r="E22" s="2"/>
      <c r="F22" s="2"/>
      <c r="G22" s="2"/>
      <c r="H22" s="2"/>
      <c r="I22" s="2"/>
      <c r="J22" s="2"/>
    </row>
    <row r="23" spans="1:20" ht="15.5" x14ac:dyDescent="0.35">
      <c r="A23" s="1">
        <v>22</v>
      </c>
      <c r="B23" s="2"/>
      <c r="C23" s="2"/>
      <c r="D23" s="2"/>
      <c r="E23" s="2"/>
      <c r="F23" s="2"/>
      <c r="G23" s="2"/>
      <c r="H23" s="2"/>
      <c r="I23" s="2"/>
      <c r="J23" s="2"/>
      <c r="N23" s="3" t="s">
        <v>86</v>
      </c>
      <c r="O23" s="3">
        <f>T18*T13</f>
        <v>293.34233499422589</v>
      </c>
    </row>
    <row r="24" spans="1:20" ht="15.5" x14ac:dyDescent="0.35">
      <c r="A24" s="2" t="s">
        <v>65</v>
      </c>
      <c r="B24" s="2">
        <f>SUBTOTAL(109,Table4[Lines])</f>
        <v>144</v>
      </c>
      <c r="C24" s="2"/>
      <c r="D24" s="2">
        <f>SUBTOTAL(109,Table4[Fixed(print,update status on sp, etc)])</f>
        <v>18</v>
      </c>
      <c r="E24" s="2">
        <f>SUBTOTAL(109,Table4[Picking/Live transaction time])</f>
        <v>779</v>
      </c>
      <c r="F24" s="2"/>
      <c r="G24" s="2">
        <f>SUBTOTAL(109,Table4[Audit time/ Staging time])</f>
        <v>374</v>
      </c>
      <c r="H24" s="2"/>
      <c r="I24" s="2"/>
      <c r="J24" s="2">
        <f>SUBTOTAL(103,Table4[Order '#])</f>
        <v>9</v>
      </c>
    </row>
    <row r="26" spans="1:20" x14ac:dyDescent="0.35">
      <c r="A26" s="3" t="s">
        <v>70</v>
      </c>
      <c r="B26" s="3">
        <f>Table4[[#Totals],[Picking/Live transaction time]]/Table4[[#Totals],[Lines]]</f>
        <v>5.4097222222222223</v>
      </c>
    </row>
    <row r="27" spans="1:20" x14ac:dyDescent="0.35">
      <c r="A27" s="3" t="s">
        <v>71</v>
      </c>
      <c r="B27" s="3">
        <f>Table4[[#Totals],[Audit time/ Staging time]]/Table4[[#Totals],[Lines]]</f>
        <v>2.5972222222222223</v>
      </c>
    </row>
  </sheetData>
  <mergeCells count="1">
    <mergeCell ref="S8:T8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ROF Analysis</vt:lpstr>
      <vt:lpstr>ROF times</vt:lpstr>
      <vt:lpstr>Stockroom</vt:lpstr>
    </vt:vector>
  </TitlesOfParts>
  <Manager/>
  <Company>DHL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Skanda Sharma (DHL Supply Chain)</dc:creator>
  <cp:keywords/>
  <dc:description/>
  <cp:lastModifiedBy>Skanda Sharma (DHL Supply Chain)</cp:lastModifiedBy>
  <cp:revision/>
  <dcterms:created xsi:type="dcterms:W3CDTF">2024-08-06T15:52:47Z</dcterms:created>
  <dcterms:modified xsi:type="dcterms:W3CDTF">2024-08-09T19:20:32Z</dcterms:modified>
  <cp:category/>
  <cp:contentStatus/>
</cp:coreProperties>
</file>